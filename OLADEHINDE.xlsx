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<sst xmlns="http://schemas.openxmlformats.org/spreadsheetml/2006/main" count="94" uniqueCount="52">
  <si>
    <t>ELERINMOSA INSTITUTE OF TECHNOLOGY, ERIN-OSUN</t>
  </si>
  <si>
    <t>DEPARTMENT OF COMPUTER SOFTWARE ENGINEERING</t>
  </si>
  <si>
    <t>SESSION: 2021/2022</t>
  </si>
  <si>
    <t>SEMESTER: FIRST SEMESTER</t>
  </si>
  <si>
    <t>NID 1</t>
  </si>
  <si>
    <t>S/N</t>
  </si>
  <si>
    <t xml:space="preserve">NAME </t>
  </si>
  <si>
    <t>MATRIC NO</t>
  </si>
  <si>
    <t>CHT 111</t>
  </si>
  <si>
    <t>CSE 101</t>
  </si>
  <si>
    <t>CSE 111</t>
  </si>
  <si>
    <t>CSE 131</t>
  </si>
  <si>
    <t>CSE 141</t>
  </si>
  <si>
    <t>CSE 151</t>
  </si>
  <si>
    <t>GNS 101</t>
  </si>
  <si>
    <t>MTH 101</t>
  </si>
  <si>
    <t>STT 101</t>
  </si>
  <si>
    <t>TGP</t>
  </si>
  <si>
    <t>GPA</t>
  </si>
  <si>
    <t>REMARK</t>
  </si>
  <si>
    <t>COURSE UNIT</t>
  </si>
  <si>
    <t>OLADEHINDE BABATUNDE LATEEF</t>
  </si>
  <si>
    <t>CSE/2021/007</t>
  </si>
  <si>
    <t>LOWER CREDIT</t>
  </si>
  <si>
    <t>SEMESTER: SECOND SEMESTER</t>
  </si>
  <si>
    <t>CSE 102</t>
  </si>
  <si>
    <t>CSE 112</t>
  </si>
  <si>
    <t>CSE 122</t>
  </si>
  <si>
    <t>CSE 132</t>
  </si>
  <si>
    <t>CSE 142</t>
  </si>
  <si>
    <t>GNS 152</t>
  </si>
  <si>
    <t>CSE 162</t>
  </si>
  <si>
    <t>GNS 102</t>
  </si>
  <si>
    <t>MTH 102</t>
  </si>
  <si>
    <t>UPPER CREDIT</t>
  </si>
  <si>
    <t>SESSION: 2022/2023</t>
  </si>
  <si>
    <t>NID 2</t>
  </si>
  <si>
    <t>CHT 251</t>
  </si>
  <si>
    <t>CSE 201</t>
  </si>
  <si>
    <t>CSE 211</t>
  </si>
  <si>
    <t>CSE 221</t>
  </si>
  <si>
    <t>CSE 241</t>
  </si>
  <si>
    <t>CSE 251</t>
  </si>
  <si>
    <t>ENT 201</t>
  </si>
  <si>
    <t>GNS 201</t>
  </si>
  <si>
    <t>CHT 252</t>
  </si>
  <si>
    <t>CSE 202</t>
  </si>
  <si>
    <t>CSE 212</t>
  </si>
  <si>
    <t>CSE 222</t>
  </si>
  <si>
    <t>CSE 232</t>
  </si>
  <si>
    <t>CSE 242</t>
  </si>
  <si>
    <t>CSE 262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</si>
</sst>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3" borderId="2" xfId="0" applyFont="1" applyFill="1" applyBorder="1" applyAlignment="1">
      <alignment horizontal="justify" vertical="center" wrapText="1"/>
    </xf>
    <xf numFmtId="0" fontId="5" fillId="2" borderId="1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0" fillId="3" borderId="0" xfId="0" applyFill="1" applyBorder="1"/>
    <xf numFmtId="0" fontId="1" fillId="2" borderId="0" xfId="0" applyFont="1" applyFill="1"/>
    <xf numFmtId="0" fontId="1" fillId="2" borderId="5" xfId="0" applyFont="1" applyFill="1" applyBorder="1"/>
    <xf numFmtId="0" fontId="1" fillId="2" borderId="6" xfId="0" applyFont="1" applyFill="1" applyBorder="1"/>
    <xf numFmtId="0" fontId="6" fillId="4" borderId="1" xfId="0" applyFont="1" applyFill="1" applyBorder="1"/>
    <xf numFmtId="0" fontId="0" fillId="0" borderId="1" xfId="0" applyBorder="1"/>
    <xf numFmtId="0" fontId="0" fillId="0" borderId="1" xfId="0" applyBorder="1" applyAlignment="1"/>
    <xf numFmtId="0" fontId="1" fillId="2" borderId="3" xfId="0" applyFont="1" applyFill="1" applyBorder="1"/>
    <xf numFmtId="0" fontId="7" fillId="4" borderId="4" xfId="0" applyFont="1" applyFill="1" applyBorder="1" applyAlignment="1">
      <alignment vertical="top"/>
    </xf>
    <xf numFmtId="0" fontId="7" fillId="4" borderId="0" xfId="0" applyFont="1" applyFill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topLeftCell="B4" workbookViewId="0">
      <selection activeCell="M8" sqref="M8"/>
    </sheetView>
  </sheetViews>
  <sheetFormatPr defaultColWidth="9" defaultRowHeight="14.5" outlineLevelRow="7"/>
  <cols>
    <col min="1" max="1" width="5" customWidth="1"/>
    <col min="2" max="2" width="33.4272727272727" customWidth="1"/>
    <col min="3" max="3" width="18.8545454545455" customWidth="1"/>
    <col min="4" max="4" width="9.28181818181818" customWidth="1"/>
    <col min="15" max="15" width="14.1363636363636" customWidth="1"/>
    <col min="16" max="16" width="10.4272727272727" customWidth="1"/>
    <col min="17" max="17" width="12" customWidth="1"/>
  </cols>
  <sheetData>
    <row r="1" spans="1:17">
      <c r="B1" t="s">
        <v>0</v>
      </c>
    </row>
    <row r="2" spans="1:17">
      <c r="B2" t="s">
        <v>1</v>
      </c>
    </row>
    <row r="5" ht="15.25" spans="1:17">
      <c r="B5" t="s">
        <v>2</v>
      </c>
      <c r="E5" t="s">
        <v>3</v>
      </c>
      <c r="H5" t="s">
        <v>4</v>
      </c>
    </row>
    <row r="6" ht="15.25" spans="1:17">
      <c r="A6" s="1" t="s">
        <v>5</v>
      </c>
      <c r="B6" s="2" t="s">
        <v>6</v>
      </c>
      <c r="C6" s="3" t="s">
        <v>7</v>
      </c>
      <c r="D6" s="4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  <c r="K6" s="5" t="s">
        <v>15</v>
      </c>
      <c r="L6" s="5" t="s">
        <v>16</v>
      </c>
      <c r="M6" s="1" t="s">
        <v>17</v>
      </c>
      <c r="N6" s="15" t="s">
        <v>18</v>
      </c>
      <c r="O6" s="6" t="s">
        <v>19</v>
      </c>
      <c r="P6" s="16"/>
      <c r="Q6" s="17"/>
    </row>
    <row r="7" spans="1:17">
      <c r="A7" s="8"/>
      <c r="B7" s="8"/>
      <c r="C7" s="9" t="s">
        <v>20</v>
      </c>
      <c r="D7" s="10">
        <v>2</v>
      </c>
      <c r="E7" s="10">
        <v>3</v>
      </c>
      <c r="F7" s="10">
        <v>3</v>
      </c>
      <c r="G7" s="10">
        <v>3</v>
      </c>
      <c r="H7" s="10">
        <v>3</v>
      </c>
      <c r="I7" s="10">
        <v>2</v>
      </c>
      <c r="J7" s="10">
        <v>2</v>
      </c>
      <c r="K7" s="10">
        <v>3</v>
      </c>
      <c r="L7" s="10">
        <v>2</v>
      </c>
      <c r="M7" s="10"/>
      <c r="N7" s="10"/>
      <c r="O7" s="11" t="e">
        <f>D7+E7+F7+G7+H7+I7+J7+K7+L7+M7+N7+#REF!</f>
        <v>#REF!</v>
      </c>
      <c r="P7" s="16"/>
      <c r="Q7" s="17"/>
    </row>
    <row r="8" spans="1:17">
      <c r="A8" s="12">
        <v>1</v>
      </c>
      <c r="B8" s="12" t="s">
        <v>21</v>
      </c>
      <c r="C8" s="13" t="s">
        <v>22</v>
      </c>
      <c r="D8" s="14">
        <v>47</v>
      </c>
      <c r="E8" s="13">
        <v>55</v>
      </c>
      <c r="F8" s="13">
        <v>45</v>
      </c>
      <c r="G8" s="13">
        <v>56</v>
      </c>
      <c r="H8" s="13">
        <v>56</v>
      </c>
      <c r="I8" s="13">
        <v>47</v>
      </c>
      <c r="J8" s="13">
        <v>55</v>
      </c>
      <c r="K8" s="13">
        <v>43</v>
      </c>
      <c r="L8" s="13">
        <v>53</v>
      </c>
      <c r="M8" s="13">
        <v>60.51</v>
      </c>
      <c r="N8" s="13">
        <v>2.63</v>
      </c>
      <c r="O8" s="13" t="s">
        <v>23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opLeftCell="B1" workbookViewId="0">
      <selection activeCell="J14" sqref="J14"/>
    </sheetView>
  </sheetViews>
  <sheetFormatPr defaultColWidth="9" defaultRowHeight="14.5" outlineLevelRow="7"/>
  <cols>
    <col min="1" max="1" width="5.57272727272727" customWidth="1"/>
    <col min="2" max="2" width="30.5727272727273" customWidth="1"/>
    <col min="3" max="3" width="15.5727272727273" customWidth="1"/>
    <col min="15" max="15" width="14.8545454545455" customWidth="1"/>
    <col min="16" max="16" width="13.2818181818182" customWidth="1"/>
  </cols>
  <sheetData>
    <row r="1" spans="1:16">
      <c r="B1" t="s">
        <v>0</v>
      </c>
    </row>
    <row r="2" spans="1:16">
      <c r="B2" t="s">
        <v>1</v>
      </c>
    </row>
    <row r="5" ht="15.25" spans="1:16">
      <c r="B5" t="s">
        <v>2</v>
      </c>
      <c r="E5" t="s">
        <v>24</v>
      </c>
      <c r="I5" t="s">
        <v>4</v>
      </c>
    </row>
    <row r="6" ht="15.25" spans="1:16">
      <c r="A6" s="1" t="s">
        <v>5</v>
      </c>
      <c r="B6" s="2" t="s">
        <v>6</v>
      </c>
      <c r="C6" s="3" t="s">
        <v>7</v>
      </c>
      <c r="D6" s="4" t="s">
        <v>8</v>
      </c>
      <c r="E6" s="5" t="s">
        <v>25</v>
      </c>
      <c r="F6" s="5" t="s">
        <v>26</v>
      </c>
      <c r="G6" s="5" t="s">
        <v>27</v>
      </c>
      <c r="H6" s="5" t="s">
        <v>28</v>
      </c>
      <c r="I6" s="5" t="s">
        <v>29</v>
      </c>
      <c r="J6" s="5" t="s">
        <v>30</v>
      </c>
      <c r="K6" s="5" t="s">
        <v>31</v>
      </c>
      <c r="L6" s="5" t="s">
        <v>32</v>
      </c>
      <c r="M6" s="5" t="s">
        <v>33</v>
      </c>
      <c r="N6" s="6" t="s">
        <v>17</v>
      </c>
      <c r="O6" s="6" t="s">
        <v>18</v>
      </c>
      <c r="P6" s="7" t="s">
        <v>19</v>
      </c>
    </row>
    <row r="7" spans="1:16">
      <c r="A7" s="8"/>
      <c r="B7" s="8"/>
      <c r="C7" s="9" t="s">
        <v>20</v>
      </c>
      <c r="D7" s="10">
        <v>2</v>
      </c>
      <c r="E7" s="10">
        <v>3</v>
      </c>
      <c r="F7" s="10">
        <v>3</v>
      </c>
      <c r="G7" s="10">
        <v>3</v>
      </c>
      <c r="H7" s="10">
        <v>2</v>
      </c>
      <c r="I7" s="10">
        <v>2</v>
      </c>
      <c r="J7" s="10">
        <v>3</v>
      </c>
      <c r="K7" s="10">
        <v>4</v>
      </c>
      <c r="L7" s="10">
        <v>2</v>
      </c>
      <c r="M7" s="10">
        <v>3</v>
      </c>
      <c r="N7" s="10"/>
      <c r="O7" s="11" t="e">
        <f>D7+E7+F7+G7+H7+I7+J7+K7+L7+M7+N7+#REF!</f>
        <v>#REF!</v>
      </c>
      <c r="P7" s="5"/>
    </row>
    <row r="8" spans="1:16">
      <c r="A8" s="12">
        <v>1</v>
      </c>
      <c r="B8" s="12" t="s">
        <v>21</v>
      </c>
      <c r="C8" s="13" t="s">
        <v>22</v>
      </c>
      <c r="D8" s="14">
        <v>74</v>
      </c>
      <c r="E8" s="13">
        <v>66</v>
      </c>
      <c r="F8" s="13">
        <v>74</v>
      </c>
      <c r="G8" s="13">
        <v>53</v>
      </c>
      <c r="H8" s="13">
        <v>58</v>
      </c>
      <c r="I8" s="13">
        <v>53</v>
      </c>
      <c r="J8" s="13">
        <v>57</v>
      </c>
      <c r="K8" s="13">
        <v>73</v>
      </c>
      <c r="L8" s="13">
        <v>56</v>
      </c>
      <c r="M8" s="13">
        <v>62</v>
      </c>
      <c r="N8" s="13">
        <v>81.5</v>
      </c>
      <c r="O8" s="13">
        <v>3.02</v>
      </c>
      <c r="P8" s="13" t="s">
        <v>34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I14" sqref="I14"/>
    </sheetView>
  </sheetViews>
  <sheetFormatPr defaultColWidth="9" defaultRowHeight="14.5" outlineLevelRow="7"/>
  <cols>
    <col min="1" max="1" width="5.57272727272727" customWidth="1"/>
    <col min="2" max="2" width="32.1363636363636" customWidth="1"/>
    <col min="3" max="3" width="14.8545454545455" customWidth="1"/>
    <col min="14" max="14" width="13.4272727272727" customWidth="1"/>
  </cols>
  <sheetData>
    <row r="1" spans="1:14">
      <c r="B1" t="s">
        <v>0</v>
      </c>
    </row>
    <row r="2" spans="1:14">
      <c r="B2" t="s">
        <v>1</v>
      </c>
    </row>
    <row r="5" ht="15.25" spans="1:14">
      <c r="B5" t="s">
        <v>35</v>
      </c>
      <c r="E5" t="s">
        <v>3</v>
      </c>
      <c r="I5" t="s">
        <v>36</v>
      </c>
    </row>
    <row r="6" ht="15.25" spans="1:14">
      <c r="A6" s="1" t="s">
        <v>5</v>
      </c>
      <c r="B6" s="2" t="s">
        <v>6</v>
      </c>
      <c r="C6" s="3" t="s">
        <v>7</v>
      </c>
      <c r="D6" s="4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6" t="s">
        <v>17</v>
      </c>
      <c r="M6" s="6" t="s">
        <v>18</v>
      </c>
      <c r="N6" s="7" t="s">
        <v>19</v>
      </c>
    </row>
    <row r="7" spans="1:14">
      <c r="A7" s="8"/>
      <c r="B7" s="8"/>
      <c r="C7" s="9" t="s">
        <v>20</v>
      </c>
      <c r="D7" s="10">
        <v>2</v>
      </c>
      <c r="E7" s="10">
        <v>2</v>
      </c>
      <c r="F7" s="10">
        <v>3</v>
      </c>
      <c r="G7" s="10">
        <v>3</v>
      </c>
      <c r="H7" s="10">
        <v>3</v>
      </c>
      <c r="I7" s="10">
        <v>3</v>
      </c>
      <c r="J7" s="10">
        <v>3</v>
      </c>
      <c r="K7" s="10">
        <v>2</v>
      </c>
      <c r="L7" s="10"/>
      <c r="M7" s="11" t="e">
        <f>D7+E7+F7+G7+H7+I7+J7+K7+#REF!+#REF!+L7+#REF!</f>
        <v>#REF!</v>
      </c>
      <c r="N7" s="5"/>
    </row>
    <row r="8" spans="1:14">
      <c r="A8" s="12">
        <v>1</v>
      </c>
      <c r="B8" s="12" t="s">
        <v>21</v>
      </c>
      <c r="C8" s="13" t="s">
        <v>22</v>
      </c>
      <c r="D8" s="14">
        <v>54</v>
      </c>
      <c r="E8" s="13">
        <v>58</v>
      </c>
      <c r="F8" s="13">
        <v>63</v>
      </c>
      <c r="G8" s="13">
        <v>63</v>
      </c>
      <c r="H8" s="13">
        <v>62</v>
      </c>
      <c r="I8" s="13">
        <v>54</v>
      </c>
      <c r="J8" s="13">
        <v>47</v>
      </c>
      <c r="K8" s="13">
        <v>55</v>
      </c>
      <c r="L8" s="13">
        <v>57.25</v>
      </c>
      <c r="M8" s="13">
        <v>2.73</v>
      </c>
      <c r="N8" s="13" t="s">
        <v>23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workbookViewId="0">
      <selection activeCell="G12" sqref="G12"/>
    </sheetView>
  </sheetViews>
  <sheetFormatPr defaultColWidth="9" defaultRowHeight="14.5"/>
  <cols>
    <col min="1" max="1" width="5" customWidth="1"/>
    <col min="2" max="2" width="30.7090909090909" customWidth="1"/>
    <col min="3" max="3" width="16.4272727272727" customWidth="1"/>
    <col min="13" max="13" width="13.4272727272727" customWidth="1"/>
    <col min="14" max="14" width="13.2818181818182" customWidth="1"/>
  </cols>
  <sheetData>
    <row r="1" spans="1:13">
      <c r="B1" t="s">
        <v>0</v>
      </c>
    </row>
    <row r="2" spans="1:13">
      <c r="B2" t="s">
        <v>1</v>
      </c>
    </row>
    <row r="5" ht="15.25" spans="1:13">
      <c r="B5" t="s">
        <v>35</v>
      </c>
      <c r="E5" t="s">
        <v>24</v>
      </c>
      <c r="I5" t="s">
        <v>36</v>
      </c>
    </row>
    <row r="6" ht="15.25" spans="1:13">
      <c r="A6" s="1" t="s">
        <v>5</v>
      </c>
      <c r="B6" s="2" t="s">
        <v>6</v>
      </c>
      <c r="C6" s="3" t="s">
        <v>7</v>
      </c>
      <c r="D6" s="4" t="s">
        <v>45</v>
      </c>
      <c r="E6" s="5" t="s">
        <v>46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6" t="s">
        <v>17</v>
      </c>
      <c r="L6" s="6" t="s">
        <v>18</v>
      </c>
      <c r="M6" s="7" t="s">
        <v>19</v>
      </c>
    </row>
    <row r="7" spans="1:13">
      <c r="A7" s="8"/>
      <c r="B7" s="8"/>
      <c r="C7" s="9" t="s">
        <v>20</v>
      </c>
      <c r="D7" s="10">
        <v>3</v>
      </c>
      <c r="E7" s="10">
        <v>4</v>
      </c>
      <c r="F7" s="10">
        <v>3</v>
      </c>
      <c r="G7" s="10">
        <v>3</v>
      </c>
      <c r="H7" s="10">
        <v>3</v>
      </c>
      <c r="I7" s="10">
        <v>3</v>
      </c>
      <c r="J7" s="10">
        <v>6</v>
      </c>
      <c r="K7" s="10"/>
      <c r="L7" s="11" t="e">
        <f>D7+E7+F7+G7+H7+I7+J7+#REF!+#REF!+#REF!+K7+#REF!</f>
        <v>#REF!</v>
      </c>
      <c r="M7" s="5"/>
    </row>
    <row r="8" spans="1:13">
      <c r="A8" s="12">
        <v>1</v>
      </c>
      <c r="B8" s="12" t="s">
        <v>21</v>
      </c>
      <c r="C8" s="13" t="s">
        <v>22</v>
      </c>
      <c r="D8" s="14">
        <v>78</v>
      </c>
      <c r="E8" s="13">
        <v>64</v>
      </c>
      <c r="F8" s="13">
        <v>46</v>
      </c>
      <c r="G8" s="13">
        <v>46</v>
      </c>
      <c r="H8" s="13">
        <v>82</v>
      </c>
      <c r="I8" s="13">
        <v>82</v>
      </c>
      <c r="J8" s="13">
        <v>72</v>
      </c>
      <c r="K8" s="13">
        <v>82.5</v>
      </c>
      <c r="L8" s="13">
        <v>3.3</v>
      </c>
      <c r="M8" s="13" t="s">
        <v>34</v>
      </c>
    </row>
    <row r="9" ht="13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Ajao Lukman Adewale Pf 2150</cp:lastModifiedBy>
  <dcterms:created xsi:type="dcterms:W3CDTF">2026-09-06T09:02:00Z</dcterms:created>
  <dcterms:modified xsi:type="dcterms:W3CDTF">2026-09-09T12:56:49Z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5F0649ABB9824F0589CBF74D81CF61E0_12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